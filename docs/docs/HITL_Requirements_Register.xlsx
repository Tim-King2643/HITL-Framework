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quirements Register" sheetId="1" state="visible" r:id="rId3"/>
    <sheet name="Design Spec Template" sheetId="2" state="visible" r:id="rId4"/>
    <sheet name="Legend &amp; Summary" sheetId="3" state="visible" r:id="rId5"/>
  </sheets>
  <definedNames>
    <definedName function="false" hidden="true" localSheetId="0" name="_xlnm._FilterDatabase" vbProcedure="false">'Requirements Register'!$A$1:$L$1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<sst xmlns="http://schemas.openxmlformats.org/spreadsheetml/2006/main" count="465" uniqueCount="308">
  <si>
    <t xml:space="preserve">ID</t>
  </si>
  <si>
    <t xml:space="preserve">Source Doc</t>
  </si>
  <si>
    <t xml:space="preserve">Source Section</t>
  </si>
  <si>
    <t xml:space="preserve">Raw Observation (GiGi's words)</t>
  </si>
  <si>
    <t xml:space="preserve">Distilled Requirement</t>
  </si>
  <si>
    <t xml:space="preserve">Category</t>
  </si>
  <si>
    <t xml:space="preserve">Converged/Related Construct</t>
  </si>
  <si>
    <t xml:space="preserve">Design Spec Doc</t>
  </si>
  <si>
    <t xml:space="preserve">Design Spec Section</t>
  </si>
  <si>
    <t xml:space="preserve">WIP Item (docs/wip/)</t>
  </si>
  <si>
    <t xml:space="preserve">Status</t>
  </si>
  <si>
    <t xml:space="preserve">Notes</t>
  </si>
  <si>
    <t xml:space="preserve">GR-001</t>
  </si>
  <si>
    <t xml:space="preserve">Website Framework Review (Sept 2026)</t>
  </si>
  <si>
    <t xml:space="preserve">§1 Overall Reaction</t>
  </si>
  <si>
    <t xml:space="preserve">The opportunity I keep seeing is to extend the framework from work transition into organizational readiness — whether people, leaders, roles, development paths and accountability structures are actually ready for that change.</t>
  </si>
  <si>
    <t xml:space="preserve">Extend the framework beyond “what changes” into “is the organization ready for that change”.</t>
  </si>
  <si>
    <t xml:space="preserve">Readiness Gate</t>
  </si>
  <si>
    <t xml:space="preserve">Role-level &amp; Organizational-level axes</t>
  </si>
  <si>
    <t xml:space="preserve">Working_Relationship_Progression_Methodology.docx</t>
  </si>
  <si>
    <t xml:space="preserve">§5 The Readiness Gate</t>
  </si>
  <si>
    <t xml:space="preserve">wrpm — working_relationship_progression_methodology.html</t>
  </si>
  <si>
    <t xml:space="preserve">Designed</t>
  </si>
  <si>
    <t xml:space="preserve">§5 names the axes and what they measure; neither has an instrument in this sandbox yet (see GR-012).</t>
  </si>
  <si>
    <t xml:space="preserve">GR-002</t>
  </si>
  <si>
    <t xml:space="preserve">§2 Website Look &amp; Feel</t>
  </si>
  <si>
    <t xml:space="preserve">Some of the most important ideas are currently buried inside paragraphs … I would pull major conclusions out into clear numbers, headlines, short callouts or ‘what this means’ panels.</t>
  </si>
  <si>
    <t xml:space="preserve">Pull key findings/conclusions out of body paragraphs into visual callouts (pull statements, before/after states, “what this means” boxes, executive summary callouts).</t>
  </si>
  <si>
    <t xml:space="preserve">Website/UX</t>
  </si>
  <si>
    <t xml:space="preserve">Framework Content Generation Rules — The Complete Catalog</t>
  </si>
  <si>
    <t xml:space="preserve">Rule 3 (Extract the Load-Bearing Claim) + Rule 4 (Callout Budget)</t>
  </si>
  <si>
    <t xml:space="preserve">rule-catalog — framework_content_generation_rules.html</t>
  </si>
  <si>
    <t xml:space="preserve">Rule 3 requires exactly this (pull-quote treatment instead of buried findings), Rule 4 caps it at 3 callouts/page so it doesn't sprawl. Rule exists and is catalogued; not yet confirmed swept across every live page.</t>
  </si>
  <si>
    <t xml:space="preserve">GR-003</t>
  </si>
  <si>
    <t xml:space="preserve">§2, §3, §12</t>
  </si>
  <si>
    <t xml:space="preserve">The five work patterns are visually too quiet … I would give them more deliberate identity across the site.</t>
  </si>
  <si>
    <t xml:space="preserve">Give the five work patterns (Decision/Knowledge/Document/Transaction/Exception) stronger, consistent visual identity site-wide, not just legend treatment.</t>
  </si>
  <si>
    <t xml:space="preserve">Work Pattern Color Standard</t>
  </si>
  <si>
    <t xml:space="preserve">Validated CVD-safe hue set + dot-and-ink badge treatment</t>
  </si>
  <si>
    <t xml:space="preserve">pattern-color — work_pattern_color_standard.html</t>
  </si>
  <si>
    <t xml:space="preserve">Repeated in §3 and §12 — one requirement, restated for emphasis. Direct match: new palette (Decision #1A5C9C / Knowledge #9B7BC4 / Document #0F8C7E / Transaction #A97C2F / Exception #B23B3B) confirmed Sept 8, passes CVD validation. Design decided; build note in the WIP doc itself says roll out to the live dashboard first, then print — not yet confirmed deployed.</t>
  </si>
  <si>
    <t xml:space="preserve">GR-004</t>
  </si>
  <si>
    <t xml:space="preserve">§2 Typography and Spacing</t>
  </si>
  <si>
    <t xml:space="preserve">I would modernize the experience slightly with larger page titles, stronger section headings, more breathing room between major ideas, shorter paragraph widths.</t>
  </si>
  <si>
    <t xml:space="preserve">Modernize site typography/spacing (titles, headings, whitespace, paragraph width).</t>
  </si>
  <si>
    <t xml:space="preserve">Rule 5 (Standing Type Scale as Default)</t>
  </si>
  <si>
    <t xml:space="preserve">Partially Addressed</t>
  </si>
  <si>
    <t xml:space="preserve">Rule 5 only locks type scale (H1 22–28px, body 13–14.5px) as the new default — it doesn't speak to whitespace between ideas or paragraph width, which GiGi also asked for. Type-scale half covered; spacing/width half still open.</t>
  </si>
  <si>
    <t xml:space="preserve">GR-005</t>
  </si>
  <si>
    <t xml:space="preserve">§2 The Tagline is Strong</t>
  </si>
  <si>
    <t xml:space="preserve">“Where human judgment belongs.” … I would protect this line … consider giving it slightly more visual prominence.</t>
  </si>
  <si>
    <t xml:space="preserve">Give the tagline “Where human judgment belongs” more visual prominence site-wide.</t>
  </si>
  <si>
    <t xml:space="preserve">Rule 6 (Protect the Signature Line) + Rule 12 (Protect the Proven Lines)</t>
  </si>
  <si>
    <t xml:space="preserve">The line itself is already adopted; Rule 6/12 now lock its protection and required visual distinctness formally. One real instance already restyled (docs/wip/index.html's own masthead, Sept 7: 18px Georgia italic white + accent rule) — but that's the WIP hub, not confirmed applied to the published framework's own pages yet.</t>
  </si>
  <si>
    <t xml:space="preserve">GR-006</t>
  </si>
  <si>
    <t xml:space="preserve">§2 Navigation</t>
  </si>
  <si>
    <t xml:space="preserve">I would eventually create more guided entry points so a visitor can come in through the problem they are trying to solve rather than through the taxonomy — ‘I am a CHRO — show me HR,’ etc.</t>
  </si>
  <si>
    <t xml:space="preserve">Add problem-first navigation entry points alongside the current taxonomy-first navigation.</t>
  </si>
  <si>
    <t xml:space="preserve">Rule 9 (Problem-First Entry Points, Additive)</t>
  </si>
  <si>
    <t xml:space="preserve">Rule 9 requires exactly this, explicitly additive (existing taxonomy nav stays). Rule exists; no problem-first entry points confirmed built into live navigation yet.</t>
  </si>
  <si>
    <t xml:space="preserve">GR-007</t>
  </si>
  <si>
    <t xml:space="preserve">§2 A Simple Visual Could Explain the Whole Idea</t>
  </si>
  <si>
    <t xml:space="preserve">Technology Capability → Work Design → Human Judgment → Accountability → Readiness.</t>
  </si>
  <si>
    <t xml:space="preserve">Add a simple explanatory sequence diagram summarizing the framework at a glance.</t>
  </si>
  <si>
    <t xml:space="preserve">Core Principle</t>
  </si>
  <si>
    <t xml:space="preserve">Find it→Define it→Measure it→Govern it (see GR-025)</t>
  </si>
  <si>
    <t xml:space="preserve">Rule 10 (One Canonical Explanatory Sequence)</t>
  </si>
  <si>
    <t xml:space="preserve">Rule 10 locks this exact 5-step sequence as the framework's sole canonical summary (“no paraphrasing or reordering permitted”) — the wording question is now resolved. A visual diagram of it is not confirmed built. Real tension found: Rule 10's “no reordering permitted” is in direct conflict with GR-025's ask to add a “Prepare for it” step — flagged to Tim, see GR-025 notes.</t>
  </si>
  <si>
    <t xml:space="preserve">GR-008</t>
  </si>
  <si>
    <t xml:space="preserve">§3 The 20-25 Percentage Point Statement Needs Precision</t>
  </si>
  <si>
    <t xml:space="preserve">Executives could easily translate it into ‘20-25% excess labor.’ … I also want to clarify whether the finding is empirical or modeled.</t>
  </si>
  <si>
    <t xml:space="preserve">State explicitly that the human-involvement gap is not a headcount-reduction estimate, and label every instance of it as modeled vs. observed.</t>
  </si>
  <si>
    <t xml:space="preserve">Language/Precision</t>
  </si>
  <si>
    <t xml:space="preserve">Rule 14 (Modeled vs. Observed, Always Labeled) + Rule 16 (H% Carries Its Disclaimer)</t>
  </si>
  <si>
    <t xml:space="preserve">Rule 14 requires modeled/observed labeling on every statistic; Rule 16 requires the headcount-reduction disclaimer specifically. Rules exist and are the two rules the H% Provenance Badge itself cites as its authority. Not yet confirmed that the specific 20–25pt statement carries both labels everywhere it appears.</t>
  </si>
  <si>
    <t xml:space="preserve">GR-009</t>
  </si>
  <si>
    <t xml:space="preserve">§3 “Optimal” May Be Too Absolute</t>
  </si>
  <si>
    <t xml:space="preserve">The appropriate balance may vary by industry, regulation, risk tolerance, workforce capability, technology maturity, culture and operating model.</t>
  </si>
  <si>
    <t xml:space="preserve">Replace “optimal human/AI balance” language with “designed” or “appropriate” balance.</t>
  </si>
  <si>
    <t xml:space="preserve">Rule 17 (“Designed,” Not “Optimal,” Unless Earned)</t>
  </si>
  <si>
    <t xml:space="preserve">Rule 17 is a near-verbatim match. Rule exists and is catalogued; not yet confirmed every live instance of “optimal” has actually been swept and replaced.</t>
  </si>
  <si>
    <t xml:space="preserve">GR-010</t>
  </si>
  <si>
    <t xml:space="preserve">§4 Language I Would Tighten</t>
  </si>
  <si>
    <t xml:space="preserve">‘No human in the loop’ is too broad … ‘Structurally impossible’ is too absolute … ‘Nothing is a black box’ is too absolute.</t>
  </si>
  <si>
    <t xml:space="preserve">Replace absolute claims (“no human in the loop,” “structurally impossible,” “nothing is a black box”) with precise, falsifiable language about governance/override/escalation.</t>
  </si>
  <si>
    <t xml:space="preserve">Rule 15 (No Absolute Claims About Safety or Control)</t>
  </si>
  <si>
    <t xml:space="preserve">Rule 15 is a direct match (“harder to occur,” not “impossible”). Rule exists; not yet confirmed every live instance of these three phrases has actually been rewritten.</t>
  </si>
  <si>
    <t xml:space="preserve">GR-011</t>
  </si>
  <si>
    <t xml:space="preserve">§4 The HAL 9000 Story</t>
  </si>
  <si>
    <t xml:space="preserve">The 90% AI / 10% Human example is memorable, but should be clearly described as the way the framework was co-created, not a universal operating target.</t>
  </si>
  <si>
    <t xml:space="preserve">Reframe the 90/10 AI/Human example as describing how the framework was built, not a universal target.</t>
  </si>
  <si>
    <t xml:space="preserve">Rule 18 (Frame HAL as Origin Story, Not Operating Target)</t>
  </si>
  <si>
    <t xml:space="preserve">Rule 18 is a near word-for-word match. Rule exists and is catalogued; not yet confirmed the live HAL 9000 passage has actually been reframed to match it.</t>
  </si>
  <si>
    <t xml:space="preserve">GR-012</t>
  </si>
  <si>
    <t xml:space="preserve">§5 The Missing Layer: Human Operating Readiness</t>
  </si>
  <si>
    <t xml:space="preserve">Human Readiness should test whether the person and organization can actually exercise the responsibility: role clarity, decision authority, capability and judgment, trust in AI, psychological safety, leadership readiness, change capacity, sustainable workload, accountability, career and development architecture.</t>
  </si>
  <si>
    <t xml:space="preserve">Build a Human Operating Readiness instrument across the 10 named dimensions, testing whether people/org can actually exercise the responsibility a role is given.</t>
  </si>
  <si>
    <t xml:space="preserve">Open</t>
  </si>
  <si>
    <t xml:space="preserve">This is the exact content gap behind Role-level/Organizational-level. Per Tim (Sept 15, 2026): the existing AI Transition Pathways self-assessment/TMI tool is explicitly NOT to be used to fill this — that's GiGi's separate lane. WRPM §5's Instrument cell and §9 now record this explicitly, and point to GiGi's own Human Readiness/Agency, Criticality, and Intensity work (her Sept 2026 pilot reply) as the leading candidate once she builds it out. The Shock Wave Effect's own “Open Questions” (Manager and Team measurement) names an overlapping but distinct gap — no instrument built for either.</t>
  </si>
  <si>
    <t xml:space="preserve">GR-013</t>
  </si>
  <si>
    <t xml:space="preserve">§5 Human Readiness</t>
  </si>
  <si>
    <t xml:space="preserve">This gives us an important distinction between Human Presence and Meaningful Human Control. A human can technically appear in a workflow and still have almost no practical control over the outcome.</t>
  </si>
  <si>
    <t xml:space="preserve">Distinguish Human Presence (technically in the workflow) from Meaningful Human Control/Agency (actually able to exercise judgment) — including psychological safety as a governance variable, not a culture metric.</t>
  </si>
  <si>
    <t xml:space="preserve">Human Agency (MR §6-§7)</t>
  </si>
  <si>
    <t xml:space="preserve">Same construct named twice: “Meaningful Human Control” here and “Human Agency” in MR §6-§7 (authority, information, capacity, confidence, skill, psychological safety). Feeds Role-level axis design. No WIP item addresses this.</t>
  </si>
  <si>
    <t xml:space="preserve">GR-014</t>
  </si>
  <si>
    <t xml:space="preserve">§6 What Exactly Does H% Measure?</t>
  </si>
  <si>
    <t xml:space="preserve">If the model says a role or activity is 65% human, what is the unit? Effort? Elapsed time? Task ownership? Decision authority? Cognitive contribution? FTE capacity? Number of steps?</t>
  </si>
  <si>
    <t xml:space="preserve">Explicitly define and document H%'s unit of measure everywhere it's displayed.</t>
  </si>
  <si>
    <t xml:space="preserve">H% Provenance Badge — Naming &amp; Placement Standard</t>
  </si>
  <si>
    <t xml:space="preserve">Proposed Tokens (MODELED — Pattern-Reference Estimate / RACI-Grounded / Assignment Underway)</t>
  </si>
  <si>
    <t xml:space="preserve">hpct-badge — h_pct_provenance_badge_standard.html</t>
  </si>
  <si>
    <t xml:space="preserve">Real distinction: the badge answers a different question than GiGi asked here. It labels H%'s epistemic grounding (is this number modeled from generic patterns or traced to real RACI/APQC text) — it does not define H%'s actual unit of measure (effort vs. time vs. decision authority vs. FTE, etc.), which is what this requirement literally asks for. Listed as related, not resolved.</t>
  </si>
  <si>
    <t xml:space="preserve">GR-015</t>
  </si>
  <si>
    <t xml:space="preserve">§6 RACI Inheritance May Create False Precision</t>
  </si>
  <si>
    <t xml:space="preserve">I would consider an exception model rather than rebuilding every activity manually: L3 provides the baseline; L4 activities that materially change accountability or responsibility receive an override.</t>
  </si>
  <si>
    <t xml:space="preserve">Build an L3-baseline-plus-L4-override exception model for RACI inheritance, instead of uniform inheritance.</t>
  </si>
  <si>
    <t xml:space="preserve">Data Model</t>
  </si>
  <si>
    <t xml:space="preserve">Current pcf7.html RACI is authored per-L3 with no L4-level override mechanism. No WIP item addresses this.</t>
  </si>
  <si>
    <t xml:space="preserve">GR-016</t>
  </si>
  <si>
    <t xml:space="preserve">§6 Human Criticality</t>
  </si>
  <si>
    <t xml:space="preserve">Two activities may both retain high human involvement for completely different reasons … Eventually the model may need to explain not only how much human involvement remains, but why it remains.</t>
  </si>
  <si>
    <t xml:space="preserve">Explain WHY human involvement remains for an activity (empathy/relationship vs. legal/risk/ethical/exception authority), not just how much.</t>
  </si>
  <si>
    <t xml:space="preserve">Consequence of Error (see GR-017)</t>
  </si>
  <si>
    <t xml:space="preserve">The Consequence-of-Error tag (GR-017) captures stakes/severity but not the qualitative reason category (relational vs. legal vs. ethical) she's describing here — still open. No WIP item addresses the reason-category gap.</t>
  </si>
  <si>
    <t xml:space="preserve">GR-017</t>
  </si>
  <si>
    <t xml:space="preserve">§6 Consequence of Error</t>
  </si>
  <si>
    <t xml:space="preserve">A second axis such as Low / Moderate / High / Critical consequence could make the human-control design more defensible.</t>
  </si>
  <si>
    <t xml:space="preserve">Add a Low/Moderate/High/Critical Consequence-of-Error axis alongside the working-relationship classification.</t>
  </si>
  <si>
    <t xml:space="preserve">§3 (Consequence of Error field)</t>
  </si>
  <si>
    <t xml:space="preserve">Implemented</t>
  </si>
  <si>
    <t xml:space="preserve">Live today: WR_DATA's `cons` field, shown as its own column across the WR, People, and Gates views.</t>
  </si>
  <si>
    <t xml:space="preserve">GR-018</t>
  </si>
  <si>
    <t xml:space="preserve">§7 Judgment Density</t>
  </si>
  <si>
    <t xml:space="preserve">Judgment Density — the concentration of high-cognitive, high-emotional and high-consequence work inside a role. A role could contain less total human work and still become harder to perform.</t>
  </si>
  <si>
    <t xml:space="preserve">Define and track Judgment Density — concentration of demanding work inside a shrinking role.</t>
  </si>
  <si>
    <t xml:space="preserve">Human Intensity (MR §2, §4; WRPM §9)</t>
  </si>
  <si>
    <t xml:space="preserve">§9 Known Open Constructs</t>
  </si>
  <si>
    <t xml:space="preserve">Named as “Human Intensity” in WRPM §9 and MR §2/§4 — same construct, three names, still not built anywhere. Thematically adjacent to the Shock Wave Effect's unmeasured Person/Manager/Team rings, but that doc doesn't claim to solve it — no real WIP mapping.</t>
  </si>
  <si>
    <t xml:space="preserve">GR-019</t>
  </si>
  <si>
    <t xml:space="preserve">§7 The Experience Ladder Problem</t>
  </si>
  <si>
    <t xml:space="preserve">If AI removes the work through which people historically learned, where do future senior practitioners develop pattern recognition and judgment?</t>
  </si>
  <si>
    <t xml:space="preserve">Address how practitioners develop judgment once AI absorbs the entry-level work they used to learn through.</t>
  </si>
  <si>
    <t xml:space="preserve">People/Org Taxonomy</t>
  </si>
  <si>
    <t xml:space="preserve">No instrument or view addresses this anywhere in the framework yet.</t>
  </si>
  <si>
    <t xml:space="preserve">GR-020</t>
  </si>
  <si>
    <t xml:space="preserve">§7 Role Evolution is Not Always Role Preservation</t>
  </si>
  <si>
    <t xml:space="preserve">The People View should eventually distinguish between roles that evolve, merge, split, disappear and emerge.</t>
  </si>
  <si>
    <t xml:space="preserve">Model role evolution (merge/split/disappear/emerge) instead of treating the role catalog as static.</t>
  </si>
  <si>
    <t xml:space="preserve">ROLE_TAXONOMY in pcf7.html is a fixed 14-role list today. The 3 role narratives model M1→M3→M5 shift within a role, not roles merging/splitting/disappearing/emerging — not a real match.</t>
  </si>
  <si>
    <t xml:space="preserve">GR-021</t>
  </si>
  <si>
    <t xml:space="preserve">§8 Accountability May Become More Important Than Responsibility</t>
  </si>
  <si>
    <t xml:space="preserve">Every AI-enabled workflow may ultimately need a visible Human Accountability Anchor — the role that remains answerable for the outcome, escalation, exception, override and ethical judgment.</t>
  </si>
  <si>
    <t xml:space="preserve">Add a visible “Human Accountability Anchor” marker as Responsible increasingly shifts to the system.</t>
  </si>
  <si>
    <t xml:space="preserve">RACI Accountable field / Gates “Accountable Role” column</t>
  </si>
  <si>
    <t xml:space="preserve">Shock Wave Effect (GDP definition)</t>
  </si>
  <si>
    <t xml:space="preserve">Blast Radius — Accountability ring / Governed Decision Point definition</t>
  </si>
  <si>
    <t xml:space="preserve">shock-wave — the_shock_wave_effect.html</t>
  </si>
  <si>
    <t xml:space="preserve">RACI's Accountable field and the Gates view's Accountable-role column already surface who's accountable, but not framed as an explicit “anchor” concept. The Shock Wave Effect's GDP (Governed Decision Point — who decides, who it escalates to, the trigger condition) is the closest existing language to this ask, and is named as the framework's containment mechanism — but it's still a WIP concept doc, not a built UI marker.</t>
  </si>
  <si>
    <t xml:space="preserve">GR-022</t>
  </si>
  <si>
    <t xml:space="preserve">§9 Employee Voice and Reality Testing</t>
  </si>
  <si>
    <t xml:space="preserve">I would eventually consider a Workforce Validation Gate before a major maturity transition — where does the design underestimate human judgment, where is AI creating rework, which responsibilities have become unclear…</t>
  </si>
  <si>
    <t xml:space="preserve">Define a pre-transition Workforce Validation Gate using real employee/manager input to reality-test the design before a maturity transition proceeds.</t>
  </si>
  <si>
    <t xml:space="preserve">Distinct from the doc's existing 3-axis Readiness Gate (§5) — open question whether this becomes a 4th axis or a separate pre-check step. No WIP item addresses this.</t>
  </si>
  <si>
    <t xml:space="preserve">GR-023</t>
  </si>
  <si>
    <t xml:space="preserve">§10 Automation, Augmentation and Delegation Should Not Blur Together</t>
  </si>
  <si>
    <t xml:space="preserve">Automation — AI performs the work. Augmentation — the human performs the work with AI assistance. Agent delegation … Human oversight … Human judgment … Human-only — AI has no meaningful execution role.</t>
  </si>
  <si>
    <t xml:space="preserve">Distinguish Automation/Augmentation/Agent-delegation/Oversight/Judgment/Human-only as separate categories instead of one blended percentage.</t>
  </si>
  <si>
    <t xml:space="preserve">§2 The Working-Relationship Ramp</t>
  </si>
  <si>
    <t xml:space="preserve">Exactly the WR Ramp's six categories, live today in WR_CATS/WR_DATA and every WR-derived view.</t>
  </si>
  <si>
    <t xml:space="preserve">GR-024</t>
  </si>
  <si>
    <t xml:space="preserve">§11 What I Think the Commercial Product Could Become</t>
  </si>
  <si>
    <t xml:space="preserve">A CHRO should eventually be able to see not only that a role moves from one human-involvement level to another, but also what that means: work that can move to AI, work that must remain human, accountability that cannot disappear, people-readiness gaps, new capabilities required, judgment density, career-path implications, risk and consequence of error, recommended transition path.</t>
  </si>
  <si>
    <t xml:space="preserve">Build a composite executive-facing per-role view combining process movement with the human-consequence dimensions above, plus a recommended transition path (not an immediate jump to the technical ceiling).</t>
  </si>
  <si>
    <t xml:space="preserve">Executive View</t>
  </si>
  <si>
    <t xml:space="preserve">GR-012, GR-018, GR-019, GR-021, GR-027</t>
  </si>
  <si>
    <t xml:space="preserve">Shock Wave Effect (Five Rings model)</t>
  </si>
  <si>
    <t xml:space="preserve">Blast Radius of a Single Role</t>
  </si>
  <si>
    <t xml:space="preserve">A “north star” view that several other still-open requirements feed into — not buildable until those underlying constructs exist. The Shock Wave Effect's Five Rings (Role→Person→Manager→Team→Accountability) is the closest existing conceptual scaffold connecting process movement to human consequence, but it's a framing device, not a built composite view — listed as related groundwork, not marked Designed.</t>
  </si>
  <si>
    <t xml:space="preserve">GR-025</t>
  </si>
  <si>
    <t xml:space="preserve">§13 A Possible Evolution of the Core Design Principle</t>
  </si>
  <si>
    <t xml:space="preserve">Find it → Define it → Measure it → Prepare for it → Govern it. That one additional step captures the part of the transformation that technical architecture alone cannot guarantee.</t>
  </si>
  <si>
    <t xml:space="preserve">Add a “Prepare for it” step to the framework's core design principle: Find it → Define it → Measure it → Prepare for it → Govern it.</t>
  </si>
  <si>
    <t xml:space="preserve">Rule 10 (One Canonical Explanatory Sequence) — in direct tension</t>
  </si>
  <si>
    <t xml:space="preserve">Framework-wide principle-statement change, not yet adopted anywhere. Real conflict discovered Sept 15, 2026: Rule 10 locks Technology Capability→Work Design→Human Judgment→Accountability→Readiness as “the sole canonical framework summary; no paraphrasing or reordering permitted” — that rule, as written, would block adopting this requirement's 5-step principle sequence without a formal rule change first. Flagged to Tim; not resolved.</t>
  </si>
  <si>
    <t xml:space="preserve">GR-026</t>
  </si>
  <si>
    <t xml:space="preserve">Maturity Reflections UPDATED (Sept 2026)</t>
  </si>
  <si>
    <t xml:space="preserve">§1 What Clicked for Me</t>
  </si>
  <si>
    <t xml:space="preserve">The framework currently measures human presence. I think the next layer may need to measure human consequence.</t>
  </si>
  <si>
    <t xml:space="preserve">The framework should measure human consequence, not only human presence.</t>
  </si>
  <si>
    <t xml:space="preserve">§1 Why This Layer Exists</t>
  </si>
  <si>
    <t xml:space="preserve">This is WRPM's own founding rationale, almost verbatim — the WR ramp + Consequence-of-Error tag operationalize it.</t>
  </si>
  <si>
    <t xml:space="preserve">GR-027</t>
  </si>
  <si>
    <t xml:space="preserve">§3 The Role-Level Dashboard Makes the Human Layer More Important</t>
  </si>
  <si>
    <t xml:space="preserve">An HRBP Manager and an HR Operations leader may both land in a similar M3 range, but the work they retain may differ dramatically — [table: Role / Likely Human Work That Remains / Potential Human Consequence].</t>
  </si>
  <si>
    <t xml:space="preserve">Add a qualitative per-role narrative (likely human work that remains + potential human consequence), distinguishing roles that land at similar H% but retain very different kinds of work.</t>
  </si>
  <si>
    <t xml:space="preserve">CHRO / HRBP Manager / Recruiter Pattern Transition Narratives</t>
  </si>
  <si>
    <t xml:space="preserve">Stage-First View — M1→M3→M5 by HITL pattern</t>
  </si>
  <si>
    <t xml:space="preserve">chro-narratives, hrbp-narratives, recruiter-narratives</t>
  </si>
  <si>
    <t xml:space="preserve">Role-catalog-level version of GR-024's L3/L4-level ambition. The 3 existing Pattern Transition Narratives are real qualitative per-role narratives of remaining human work — close to what's asked. Gap: GiGi's ask is specifically a side-by-side comparison table across roles at similar H% (e.g. HRBP Manager vs. HR Ops leader); the 3 narratives are individual deep-dives, not built as a comparison view yet.</t>
  </si>
  <si>
    <t xml:space="preserve">GR-028</t>
  </si>
  <si>
    <t xml:space="preserve">§5 The Maturity Scale Raises an Important Philosophical Question</t>
  </si>
  <si>
    <t xml:space="preserve">Human Judgment Floor — for some responsibilities, there may be a minimum level of meaningful human participation below which the organization should not move, regardless of what technology is technically capable of doing.</t>
  </si>
  <si>
    <t xml:space="preserve">Define a Human Judgment Floor — a minimum human-involvement level some responsibilities shouldn't drop below.</t>
  </si>
  <si>
    <t xml:space="preserve">Progression Ceiling</t>
  </si>
  <si>
    <t xml:space="preserve">§3 Current State, Future State, Progression Ceiling</t>
  </si>
  <si>
    <t xml:space="preserve">Same judgment call as WRPM's Progression Ceiling, approached from the opposite direction (floor on H% vs. ceiling on automation) — converged per Tim's Sept 11, 2026 reconciliation.</t>
  </si>
  <si>
    <t xml:space="preserve">GR-029</t>
  </si>
  <si>
    <t xml:space="preserve">§8 Workload Displacement May Really Be Complexity Displacement</t>
  </si>
  <si>
    <t xml:space="preserve">Exception Escalation Effect: routine work is automated; standard cases disappear from human queues; the remaining human cases are disproportionately ambiguous or difficult; exceptions move upward to managers or specialists.</t>
  </si>
  <si>
    <t xml:space="preserve">Define the Exception Escalation Effect — automation removes routine work first, leaving a smaller but harder remainder that migrates upward, so “hours saved” doesn't equal “capacity created.”</t>
  </si>
  <si>
    <t xml:space="preserve">Named as genuinely new in the Sept 11 reconciliation memo; no instrument yet. Thematically adjacent to the Shock Wave Effect's cascade/interference framing (both describe difficulty concentrating somewhere as routine work disappears), but Shock Wave is about simultaneous cross-domain transformation, not single-domain routine-work removal — not a real match, left Open.</t>
  </si>
  <si>
    <t xml:space="preserve">GR-030</t>
  </si>
  <si>
    <t xml:space="preserve">§9 Accountability May Become More Concentrated as H% Declines</t>
  </si>
  <si>
    <t xml:space="preserve">Activity can become distributed to technology while accountability becomes concentrated in fewer people … an Accountability Concentration concept.</t>
  </si>
  <si>
    <t xml:space="preserve">Track Accountability Concentration — whether decision ownership/override/reputational risk is concentrating into fewer human roles as H% declines.</t>
  </si>
  <si>
    <t xml:space="preserve">Shock Wave Effect (Accountability ring)</t>
  </si>
  <si>
    <t xml:space="preserve">Blast Radius — Accountability ring; §8 Pilots (HRBP Manager, Recruiter findings)</t>
  </si>
  <si>
    <t xml:space="preserve">Qualitatively observed in the 7.4.4 and 7.2.3.4 pilot walkthroughs (both roles hold 100% Accountable share across their activities). The Shock Wave Effect names “accountability held fixed by design” as one of its Five Rings and frames GDPs as the containment mechanism as automation increases — conceptual language for this exists now, but it's still not a computed, tracked metric anywhere.</t>
  </si>
  <si>
    <t xml:space="preserve">GR-031</t>
  </si>
  <si>
    <t xml:space="preserve">§10 The 'No R/A Touches' Roles May Be Telling Us Something Important</t>
  </si>
  <si>
    <t xml:space="preserve">Leadership roles often create value through activities that do not map neatly to formal R/A ownership: influencing, advising, integrating across functions, coaching, governing, sense-making, building trust, resolving conflict.</t>
  </si>
  <si>
    <t xml:space="preserve">Reframe “No R/A touches” roles as a visibility limitation, not evidence the role is unimportant.</t>
  </si>
  <si>
    <t xml:space="preserve">Named a “genuine blind spot, not resolved by anything in this methodology” in WRPM §9. The People View currently shows these roles with a bare “No R/A touches in current RACI data” line that doesn't reflect this distinction. No WIP item addresses this.</t>
  </si>
  <si>
    <t xml:space="preserve">GR-032</t>
  </si>
  <si>
    <t xml:space="preserve">§11 Transition Distance May Need to Go Beyond Skills</t>
  </si>
  <si>
    <t xml:space="preserve">Transition Distance may need to capture: skill shift, judgment shift, identity shift, authority shift, relationship shift, work-pattern shift.</t>
  </si>
  <si>
    <t xml:space="preserve">Expand Transition Distance beyond a skills gap to include judgment, identity, authority, relationship, and work-pattern shift.</t>
  </si>
  <si>
    <t xml:space="preserve">Named genuinely new in the reconciliation memo; not built anywhere.</t>
  </si>
  <si>
    <t xml:space="preserve">GR-033</t>
  </si>
  <si>
    <t xml:space="preserve">§12 A Possible Human Impact Pathway</t>
  </si>
  <si>
    <t xml:space="preserve">[table: Work Change / Role Impact / Human Impact / Manager Absorption / Team Effect / Accountability / Org Outcome] — at each point, ask: what changed, who absorbs it, where did the work go, what new risk appeared, what new human capability is required, who now owns the outcome.</t>
  </si>
  <si>
    <t xml:space="preserve">Build a 7-stage Human Impact Pathway with one consistent question set applied at every stage.</t>
  </si>
  <si>
    <t xml:space="preserve">§7 The Human Impact Pathway</t>
  </si>
  <si>
    <t xml:space="preserve">Adopted near-verbatim as WRPM §7 and walked by hand for all three pilots in §8 — but that's the methodology being applied manually, not a built sandbox feature. No UI/data structure exists for it in pcf7.html yet.</t>
  </si>
  <si>
    <t xml:space="preserve">GR-034</t>
  </si>
  <si>
    <t xml:space="preserve">§14 The Core Question I Think We Should Answer Together</t>
  </si>
  <si>
    <t xml:space="preserve">Are we trying to optimize how little human involvement is required — or are we trying to design exactly where humans create the most value and make sure they can successfully carry the judgment, complexity and accountability that remain?</t>
  </si>
  <si>
    <t xml:space="preserve">Record an explicit, agreed answer to the framework's core intent: minimal-involvement/automation model, vs. intentional human-AI allocation/operating-design model.</t>
  </si>
  <si>
    <t xml:space="preserve">concept-to-principle — from_concept_to_principle.html (mechanism only)</t>
  </si>
  <si>
    <t xml:space="preserve">Implicit in the framework's existing thesis and tagline, but never stated as a direct, citable answer to this specific question. From Concept to Principle's Approval Lifecycle (Concept→Feasibility Review→Approved, jointly by Tim+GiGi) is the right mechanism for recording such an agreed answer once reached — it doesn't itself contain the answer.</t>
  </si>
  <si>
    <t xml:space="preserve">GR-035</t>
  </si>
  <si>
    <t xml:space="preserve">§16 Organizational Role Taxonomy &amp; Reporting Structure</t>
  </si>
  <si>
    <t xml:space="preserve">For the HRBP Manager, I would not validate the reporting line solely because it is internally consistent with the RACI … My working view is that the HRBP Manager usually needs a strong line into senior HR/People leadership.</t>
  </si>
  <si>
    <t xml:space="preserve">Validate each provisional reportsTo edge against practical operating-model criteria (priority-setting, performance evaluation, coaching, escalation ownership, resource control, org-size sensitivity), producing a confirmed primary reportsTo, labeled common variants, a rationale, and a future-state check per prototype role.</t>
  </si>
  <si>
    <t xml:space="preserve">§7 Human Impact Pathway — Manager Absorption finding (7.4.4)</t>
  </si>
  <si>
    <t xml:space="preserve">hrbp-narratives + wrpm — working_relationship_progression_methodology.html</t>
  </si>
  <si>
    <t xml:space="preserve">WRPM §7's Manager Absorption finding argues HRBP Manager's real escalation path is Director of HR Ops, not VP People &amp; Culture — but ROLE_TAXONOMY in pcf7.html still has HRBP Manager reporting to VP People &amp; Culture today. The correction was argued for in the design spec but never applied to the live sandbox data — the one requirement in this register with a concrete, actionable, currently-incorrect data point behind it. Also cross-referenced from the HRBP Manager narrative page's own Related Requirements box.</t>
  </si>
  <si>
    <t xml:space="preserve">Standard Design Spec Template</t>
  </si>
  <si>
    <t xml:space="preserve">Reverse-engineered from Working_Relationship_Progression_Methodology.docx, the framework's first document in this shape. Every future design spec (Technical/Process evidence instrument, Organizational-level checklist, Human Operating Readiness instrument, etc.) should follow this same section order and content contract, so a reader — GiGi included — always finds the same kind of answer in the same place. Once a design spec reaches this shape, it becomes a docs/wip/ item and goes through the same Tim+GiGi vote/publish flow as every other WIP proposal.</t>
  </si>
  <si>
    <t xml:space="preserve">Section</t>
  </si>
  <si>
    <t xml:space="preserve">Purpose</t>
  </si>
  <si>
    <t xml:space="preserve">Content Contract</t>
  </si>
  <si>
    <t xml:space="preserve">Title Block</t>
  </si>
  <si>
    <t xml:space="preserve">Identify the doc and its authority.</t>
  </si>
  <si>
    <t xml:space="preserve">Framework name/tagline; document title; one-line subtitle naming the doc type (e.g. “A Design Methodology”); author line (names · date · doc status); a status callout box stating stage (concept/draft/adopted), what it replaces or extends, current validation status, and what it explicitly does NOT substitute for.</t>
  </si>
  <si>
    <t xml:space="preserve">1. Why This Layer Exists</t>
  </si>
  <si>
    <t xml:space="preserve">Justify the work before describing it.</t>
  </si>
  <si>
    <t xml:space="preserve">The concrete problem or evidence that broke the prior model — real examples, not hypotheticals. State plainly what the new layer measures that the old one didn't.</t>
  </si>
  <si>
    <t xml:space="preserve">2. Core Model / Concept</t>
  </si>
  <si>
    <t xml:space="preserve">Define the central construct precisely.</t>
  </si>
  <si>
    <t xml:space="preserve">The new classification, category set, or construct being introduced, defined in terms a reader can apply consistently — not just named.</t>
  </si>
  <si>
    <t xml:space="preserve">3. Data Model</t>
  </si>
  <si>
    <t xml:space="preserve">Specify what replaces or extends the prior data.</t>
  </si>
  <si>
    <t xml:space="preserve">The concrete fields/structure, with a plain mapping from old → new (e.g. “replacing M1–M5 with Current State/Future State/Progression Ceiling”).</t>
  </si>
  <si>
    <t xml:space="preserve">4. Granularity</t>
  </si>
  <si>
    <t xml:space="preserve">State where each kind of data lives, and why.</t>
  </si>
  <si>
    <t xml:space="preserve">Per-activity vs. per-role vs. per-org, with the reasoning for each choice, not just an assertion.</t>
  </si>
  <si>
    <t xml:space="preserve">5. Gate / Decision Logic (if applicable)</t>
  </si>
  <si>
    <t xml:space="preserve">Define what has to be true before something is allowed to happen.</t>
  </si>
  <si>
    <t xml:space="preserve">Every independent signal/axis involved, what each one measures, its granularity, and its instrument — explicitly marked “existing” or “new, no instrument yet” for each one. Never implies an axis is measured when it isn't.</t>
  </si>
  <si>
    <t xml:space="preserve">6. Evidence / Instrumentation per Component</t>
  </si>
  <si>
    <t xml:space="preserve">Make honesty about data-readiness structural, not a caveat.</t>
  </si>
  <si>
    <t xml:space="preserve">For every sub-part that isn't fully instrumented yet: what evidence would be needed, at what volume/threshold to be trusted, and where that evidence would actually come from.</t>
  </si>
  <si>
    <t xml:space="preserve">7. Downstream / Propagation Effects</t>
  </si>
  <si>
    <t xml:space="preserve">Show how the change ripples outward.</t>
  </si>
  <si>
    <t xml:space="preserve">How this layer's output feeds the next layer up (e.g. activity → role → manager → team → org), using one consistent question set rather than a bespoke one per stage.</t>
  </si>
  <si>
    <t xml:space="preserve">8. Pilots / Validation</t>
  </si>
  <si>
    <t xml:space="preserve">Prove the model against real data, not synthetic data.</t>
  </si>
  <si>
    <t xml:space="preserve">At least one real walkthrough against real classified data, chosen to span different conditions (e.g. different org tiers) — including findings that complicate or partially break the model, not just successes.</t>
  </si>
  <si>
    <t xml:space="preserve">9. Known Open Constructs — Named, Not Yet Built</t>
  </si>
  <si>
    <t xml:space="preserve">Keep the honesty ethos structural.</t>
  </si>
  <si>
    <t xml:space="preserve">Every concept identified as relevant but not yet instrumented, named plainly, with one sentence on why it's hard and what it's not the same as.</t>
  </si>
  <si>
    <t xml:space="preserve">10. Sourcing, Validation &amp; Scope Boundary</t>
  </si>
  <si>
    <t xml:space="preserve">Make provenance and boundaries explicit.</t>
  </si>
  <si>
    <t xml:space="preserve">Where the source data/ground truth comes from; what's deliberately left out of this doc as a separate parallel track; what this doc does not claim to resolve.</t>
  </si>
  <si>
    <t xml:space="preserve">Closing</t>
  </si>
  <si>
    <t xml:space="preserve">Attribute the work.</t>
  </si>
  <si>
    <t xml:space="preserve">Copyright/attribution line matching the rest of the framework's documents.</t>
  </si>
  <si>
    <t xml:space="preserve">Status Legend</t>
  </si>
  <si>
    <t xml:space="preserve">Live today in pcf7.html or the published framework — not just designed, actually built and working.</t>
  </si>
  <si>
    <t xml:space="preserve">A design spec exists (cited in “Design Spec Doc”) — often now a real docs/wip/ item, cited in “WIP Item” — that specifies how to build it, but it isn't built into the sandbox/site yet.</t>
  </si>
  <si>
    <t xml:space="preserve">Some real piece of this requirement exists, but the requirement as GiGi stated it isn't fully met.</t>
  </si>
  <si>
    <t xml:space="preserve">Nothing built and no design spec written yet.</t>
  </si>
  <si>
    <t xml:space="preserve">Category Legend</t>
  </si>
  <si>
    <t xml:space="preserve">The three-axis (Technical/Process, Role-level, Organizational-level) gate deciding when an activity may advance, per WRPM §5.</t>
  </si>
  <si>
    <t xml:space="preserve">Fields/structures attached to an activity, role, or transition (WR_DATA-level and similar).</t>
  </si>
  <si>
    <t xml:space="preserve">The role catalog, reporting structure, and how roles are represented.</t>
  </si>
  <si>
    <t xml:space="preserve">Composite, rollup, or narrative output meant for a CHRO/exec audience, combining several underlying constructs.</t>
  </si>
  <si>
    <t xml:space="preserve">Site design, navigation, and visual-treatment requests — not sandbox data model changes.</t>
  </si>
  <si>
    <t xml:space="preserve">Wording/precision fixes to existing claims — not new constructs.</t>
  </si>
  <si>
    <t xml:space="preserve">The framework's own stated thesis/principle language.</t>
  </si>
  <si>
    <t xml:space="preserve">WIP Item Column — What It Means</t>
  </si>
  <si>
    <t xml:space="preserve">Holds the real docs/wip/ item id and filename once a requirement is addressed (even partially) by an actual WIP proposal, so the Register and the WIP hub cross-reference each other instead of drifting apart. A requirement reaching Implemented status via a WIP item still requires that item to be Approved (both Tim + GiGi) and Published on the WIP hub — an approved-but-unpublished WIP item can only support Designed or Partially Addressed here, never Implemented.</t>
  </si>
  <si>
    <t xml:space="preserve">Register Summary (live count)</t>
  </si>
  <si>
    <t xml:space="preserve">Count</t>
  </si>
  <si>
    <t xml:space="preserve">Total</t>
  </si>
  <si>
    <t xml:space="preserve">Requirements referencing a real WIP item</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</si>
</sst>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14"/>
      <color rgb="FF0D2D4F"/>
      <name val="Arial"/>
      <family val="0"/>
      <charset val="1"/>
    </font>
    <font>
      <i val="true"/>
      <sz val="10"/>
      <color rgb="FF888888"/>
      <name val="Arial"/>
      <family val="0"/>
      <charset val="1"/>
    </font>
    <font>
      <b val="true"/>
      <sz val="9.5"/>
      <color rgb="FF0D2D4F"/>
      <name val="Arial"/>
      <family val="0"/>
      <charset val="1"/>
    </font>
    <font>
      <b val="true"/>
      <sz val="12"/>
      <color rgb="FF0D2D4F"/>
      <name val="Arial"/>
      <family val="0"/>
      <charset val="1"/>
    </font>
    <font>
      <b val="true"/>
      <sz val="9.5"/>
      <name val="Arial"/>
      <family val="0"/>
      <charset val="1"/>
    </font>
  </fonts>
  <fills count="7">
    <fill>
      <patternFill patternType="none"/>
    </fill>
    <fill>
      <patternFill patternType="gray125"/>
    </fill>
    <fill>
      <patternFill patternType="solid">
        <fgColor rgb="FF0D2D4F"/>
        <bgColor rgb="FF333333"/>
      </patternFill>
    </fill>
    <fill>
      <patternFill patternType="solid">
        <fgColor rgb="FFEEF3FA"/>
        <bgColor rgb="FFFFFFFF"/>
      </patternFill>
    </fill>
    <fill>
      <patternFill patternType="solid">
        <fgColor rgb="FFFEF3C7"/>
        <bgColor rgb="FFFEE2E2"/>
      </patternFill>
    </fill>
    <fill>
      <patternFill patternType="solid">
        <fgColor rgb="FFFEE2E2"/>
        <bgColor rgb="FFFEF3C7"/>
      </patternFill>
    </fill>
    <fill>
      <patternFill patternType="solid">
        <fgColor rgb="FFDCFCE7"/>
        <bgColor rgb="FFCCFFCC"/>
      </patternFill>
    </fill>
  </fills>
  <borders count="2">
    <border diagonalUp="false" diagonalDown="false">
      <left/>
      <right/>
      <top/>
      <bottom/>
      <diagonal/>
    </border>
    <border diagonalUp="false" diagonalDown="false">
      <left style="thin">
        <color rgb="FFC7D2E3"/>
      </left>
      <right style="thin">
        <color rgb="FFC7D2E3"/>
      </right>
      <top style="thin">
        <color rgb="FFC7D2E3"/>
      </top>
      <bottom style="thin">
        <color rgb="FFC7D2E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0D2D4F"/>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EF3C7"/>
      <rgbColor rgb="FFDCFCE7"/>
      <rgbColor rgb="FF660066"/>
      <rgbColor rgb="FFFF8080"/>
      <rgbColor rgb="FF0066CC"/>
      <rgbColor rgb="FFC7D2E3"/>
      <rgbColor rgb="FF000080"/>
      <rgbColor rgb="FFFF00FF"/>
      <rgbColor rgb="FFFFFF00"/>
      <rgbColor rgb="FF00FFFF"/>
      <rgbColor rgb="FF800080"/>
      <rgbColor rgb="FF800000"/>
      <rgbColor rgb="FF008080"/>
      <rgbColor rgb="FF0000FF"/>
      <rgbColor rgb="FF00CCFF"/>
      <rgbColor rgb="FFEEF3FA"/>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D2D4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5"/>
    <col collapsed="false" customWidth="true" hidden="false" outlineLevel="0" max="3" min="3" style="1" width="28"/>
    <col collapsed="false" customWidth="true" hidden="false" outlineLevel="0" max="5" min="4" style="1" width="44"/>
    <col collapsed="false" customWidth="true" hidden="false" outlineLevel="0" max="6" min="6" style="1" width="16"/>
    <col collapsed="false" customWidth="true" hidden="false" outlineLevel="0" max="7" min="7" style="1" width="24"/>
    <col collapsed="false" customWidth="true" hidden="false" outlineLevel="0" max="9" min="8" style="1" width="28"/>
    <col collapsed="false" customWidth="true" hidden="false" outlineLevel="0" max="10" min="10" style="1" width="30"/>
    <col collapsed="false" customWidth="true" hidden="false" outlineLevel="0" max="11" min="11" style="1" width="15"/>
    <col collapsed="false" customWidth="true" hidden="false" outlineLevel="0" max="12" min="12" style="1" width="46"/>
  </cols>
  <sheetData>
    <row r="1" customFormat="false" ht="23.25" hidden="false" customHeight="tru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61.5" hidden="false" customHeight="true" outlineLevel="0" collapsed="false">
      <c r="A2" s="3" t="s">
        <v>12</v>
      </c>
      <c r="B2" s="3" t="s">
        <v>13</v>
      </c>
      <c r="C2" s="3" t="s">
        <v>14</v>
      </c>
      <c r="D2" s="3" t="s">
        <v>15</v>
      </c>
      <c r="E2" s="3" t="s">
        <v>16</v>
      </c>
      <c r="F2" s="3" t="s">
        <v>17</v>
      </c>
      <c r="G2" s="3" t="s">
        <v>18</v>
      </c>
      <c r="H2" s="3" t="s">
        <v>19</v>
      </c>
      <c r="I2" s="3" t="s">
        <v>20</v>
      </c>
      <c r="J2" s="3" t="s">
        <v>21</v>
      </c>
      <c r="K2" s="4" t="s">
        <v>22</v>
      </c>
      <c r="L2" s="3" t="s">
        <v>23</v>
      </c>
    </row>
    <row r="3" customFormat="false" ht="61.5" hidden="false" customHeight="true" outlineLevel="0" collapsed="false">
      <c r="A3" s="3" t="s">
        <v>24</v>
      </c>
      <c r="B3" s="3" t="s">
        <v>13</v>
      </c>
      <c r="C3" s="3" t="s">
        <v>25</v>
      </c>
      <c r="D3" s="3" t="s">
        <v>26</v>
      </c>
      <c r="E3" s="3" t="s">
        <v>27</v>
      </c>
      <c r="F3" s="3" t="s">
        <v>28</v>
      </c>
      <c r="G3" s="3"/>
      <c r="H3" s="3" t="s">
        <v>29</v>
      </c>
      <c r="I3" s="3" t="s">
        <v>30</v>
      </c>
      <c r="J3" s="3" t="s">
        <v>31</v>
      </c>
      <c r="K3" s="4" t="s">
        <v>22</v>
      </c>
      <c r="L3" s="3" t="s">
        <v>32</v>
      </c>
    </row>
    <row r="4" customFormat="false" ht="61.5" hidden="false" customHeight="true" outlineLevel="0" collapsed="false">
      <c r="A4" s="3" t="s">
        <v>33</v>
      </c>
      <c r="B4" s="3" t="s">
        <v>13</v>
      </c>
      <c r="C4" s="3" t="s">
        <v>34</v>
      </c>
      <c r="D4" s="3" t="s">
        <v>35</v>
      </c>
      <c r="E4" s="3" t="s">
        <v>36</v>
      </c>
      <c r="F4" s="3" t="s">
        <v>28</v>
      </c>
      <c r="G4" s="3"/>
      <c r="H4" s="3" t="s">
        <v>37</v>
      </c>
      <c r="I4" s="3" t="s">
        <v>38</v>
      </c>
      <c r="J4" s="3" t="s">
        <v>39</v>
      </c>
      <c r="K4" s="4" t="s">
        <v>22</v>
      </c>
      <c r="L4" s="3" t="s">
        <v>40</v>
      </c>
    </row>
    <row r="5" customFormat="false" ht="61.5" hidden="false" customHeight="true" outlineLevel="0" collapsed="false">
      <c r="A5" s="3" t="s">
        <v>41</v>
      </c>
      <c r="B5" s="3" t="s">
        <v>13</v>
      </c>
      <c r="C5" s="3" t="s">
        <v>42</v>
      </c>
      <c r="D5" s="3" t="s">
        <v>43</v>
      </c>
      <c r="E5" s="3" t="s">
        <v>44</v>
      </c>
      <c r="F5" s="3" t="s">
        <v>28</v>
      </c>
      <c r="G5" s="3"/>
      <c r="H5" s="3" t="s">
        <v>29</v>
      </c>
      <c r="I5" s="3" t="s">
        <v>45</v>
      </c>
      <c r="J5" s="3" t="s">
        <v>31</v>
      </c>
      <c r="K5" s="5" t="s">
        <v>46</v>
      </c>
      <c r="L5" s="3" t="s">
        <v>47</v>
      </c>
    </row>
    <row r="6" customFormat="false" ht="61.5" hidden="false" customHeight="true" outlineLevel="0" collapsed="false">
      <c r="A6" s="3" t="s">
        <v>48</v>
      </c>
      <c r="B6" s="3" t="s">
        <v>13</v>
      </c>
      <c r="C6" s="3" t="s">
        <v>49</v>
      </c>
      <c r="D6" s="3" t="s">
        <v>50</v>
      </c>
      <c r="E6" s="3" t="s">
        <v>51</v>
      </c>
      <c r="F6" s="3" t="s">
        <v>28</v>
      </c>
      <c r="G6" s="3"/>
      <c r="H6" s="3" t="s">
        <v>29</v>
      </c>
      <c r="I6" s="3" t="s">
        <v>52</v>
      </c>
      <c r="J6" s="3" t="s">
        <v>31</v>
      </c>
      <c r="K6" s="5" t="s">
        <v>46</v>
      </c>
      <c r="L6" s="3" t="s">
        <v>53</v>
      </c>
    </row>
    <row r="7" customFormat="false" ht="61.5" hidden="false" customHeight="true" outlineLevel="0" collapsed="false">
      <c r="A7" s="3" t="s">
        <v>54</v>
      </c>
      <c r="B7" s="3" t="s">
        <v>13</v>
      </c>
      <c r="C7" s="3" t="s">
        <v>55</v>
      </c>
      <c r="D7" s="3" t="s">
        <v>56</v>
      </c>
      <c r="E7" s="3" t="s">
        <v>57</v>
      </c>
      <c r="F7" s="3" t="s">
        <v>28</v>
      </c>
      <c r="G7" s="3"/>
      <c r="H7" s="3" t="s">
        <v>29</v>
      </c>
      <c r="I7" s="3" t="s">
        <v>58</v>
      </c>
      <c r="J7" s="3" t="s">
        <v>31</v>
      </c>
      <c r="K7" s="4" t="s">
        <v>22</v>
      </c>
      <c r="L7" s="3" t="s">
        <v>59</v>
      </c>
    </row>
    <row r="8" customFormat="false" ht="61.5" hidden="false" customHeight="true" outlineLevel="0" collapsed="false">
      <c r="A8" s="3" t="s">
        <v>60</v>
      </c>
      <c r="B8" s="3" t="s">
        <v>13</v>
      </c>
      <c r="C8" s="3" t="s">
        <v>61</v>
      </c>
      <c r="D8" s="3" t="s">
        <v>62</v>
      </c>
      <c r="E8" s="3" t="s">
        <v>63</v>
      </c>
      <c r="F8" s="3" t="s">
        <v>64</v>
      </c>
      <c r="G8" s="3" t="s">
        <v>65</v>
      </c>
      <c r="H8" s="3" t="s">
        <v>29</v>
      </c>
      <c r="I8" s="3" t="s">
        <v>66</v>
      </c>
      <c r="J8" s="3" t="s">
        <v>31</v>
      </c>
      <c r="K8" s="5" t="s">
        <v>46</v>
      </c>
      <c r="L8" s="3" t="s">
        <v>67</v>
      </c>
    </row>
    <row r="9" customFormat="false" ht="61.5" hidden="false" customHeight="true" outlineLevel="0" collapsed="false">
      <c r="A9" s="3" t="s">
        <v>68</v>
      </c>
      <c r="B9" s="3" t="s">
        <v>13</v>
      </c>
      <c r="C9" s="3" t="s">
        <v>69</v>
      </c>
      <c r="D9" s="3" t="s">
        <v>70</v>
      </c>
      <c r="E9" s="3" t="s">
        <v>71</v>
      </c>
      <c r="F9" s="3" t="s">
        <v>72</v>
      </c>
      <c r="G9" s="3"/>
      <c r="H9" s="3" t="s">
        <v>29</v>
      </c>
      <c r="I9" s="3" t="s">
        <v>73</v>
      </c>
      <c r="J9" s="3" t="s">
        <v>31</v>
      </c>
      <c r="K9" s="4" t="s">
        <v>22</v>
      </c>
      <c r="L9" s="3" t="s">
        <v>74</v>
      </c>
    </row>
    <row r="10" customFormat="false" ht="61.5" hidden="false" customHeight="true" outlineLevel="0" collapsed="false">
      <c r="A10" s="3" t="s">
        <v>75</v>
      </c>
      <c r="B10" s="3" t="s">
        <v>13</v>
      </c>
      <c r="C10" s="3" t="s">
        <v>76</v>
      </c>
      <c r="D10" s="3" t="s">
        <v>77</v>
      </c>
      <c r="E10" s="3" t="s">
        <v>78</v>
      </c>
      <c r="F10" s="3" t="s">
        <v>72</v>
      </c>
      <c r="G10" s="3"/>
      <c r="H10" s="3" t="s">
        <v>29</v>
      </c>
      <c r="I10" s="3" t="s">
        <v>79</v>
      </c>
      <c r="J10" s="3" t="s">
        <v>31</v>
      </c>
      <c r="K10" s="4" t="s">
        <v>22</v>
      </c>
      <c r="L10" s="3" t="s">
        <v>80</v>
      </c>
    </row>
    <row r="11" customFormat="false" ht="61.5" hidden="false" customHeight="true" outlineLevel="0" collapsed="false">
      <c r="A11" s="3" t="s">
        <v>81</v>
      </c>
      <c r="B11" s="3" t="s">
        <v>13</v>
      </c>
      <c r="C11" s="3" t="s">
        <v>82</v>
      </c>
      <c r="D11" s="3" t="s">
        <v>83</v>
      </c>
      <c r="E11" s="3" t="s">
        <v>84</v>
      </c>
      <c r="F11" s="3" t="s">
        <v>72</v>
      </c>
      <c r="G11" s="3"/>
      <c r="H11" s="3" t="s">
        <v>29</v>
      </c>
      <c r="I11" s="3" t="s">
        <v>85</v>
      </c>
      <c r="J11" s="3" t="s">
        <v>31</v>
      </c>
      <c r="K11" s="4" t="s">
        <v>22</v>
      </c>
      <c r="L11" s="3" t="s">
        <v>86</v>
      </c>
    </row>
    <row r="12" customFormat="false" ht="61.5" hidden="false" customHeight="true" outlineLevel="0" collapsed="false">
      <c r="A12" s="3" t="s">
        <v>87</v>
      </c>
      <c r="B12" s="3" t="s">
        <v>13</v>
      </c>
      <c r="C12" s="3" t="s">
        <v>88</v>
      </c>
      <c r="D12" s="3" t="s">
        <v>89</v>
      </c>
      <c r="E12" s="3" t="s">
        <v>90</v>
      </c>
      <c r="F12" s="3" t="s">
        <v>72</v>
      </c>
      <c r="G12" s="3"/>
      <c r="H12" s="3" t="s">
        <v>29</v>
      </c>
      <c r="I12" s="3" t="s">
        <v>91</v>
      </c>
      <c r="J12" s="3" t="s">
        <v>31</v>
      </c>
      <c r="K12" s="4" t="s">
        <v>22</v>
      </c>
      <c r="L12" s="3" t="s">
        <v>92</v>
      </c>
    </row>
    <row r="13" customFormat="false" ht="61.5" hidden="false" customHeight="true" outlineLevel="0" collapsed="false">
      <c r="A13" s="3" t="s">
        <v>93</v>
      </c>
      <c r="B13" s="3" t="s">
        <v>13</v>
      </c>
      <c r="C13" s="3" t="s">
        <v>94</v>
      </c>
      <c r="D13" s="3" t="s">
        <v>95</v>
      </c>
      <c r="E13" s="3" t="s">
        <v>96</v>
      </c>
      <c r="F13" s="3" t="s">
        <v>17</v>
      </c>
      <c r="G13" s="3" t="s">
        <v>18</v>
      </c>
      <c r="H13" s="3" t="s">
        <v>19</v>
      </c>
      <c r="I13" s="3" t="s">
        <v>20</v>
      </c>
      <c r="J13" s="3" t="s">
        <v>21</v>
      </c>
      <c r="K13" s="6" t="s">
        <v>97</v>
      </c>
      <c r="L13" s="3" t="s">
        <v>98</v>
      </c>
    </row>
    <row r="14" customFormat="false" ht="61.5" hidden="false" customHeight="true" outlineLevel="0" collapsed="false">
      <c r="A14" s="3" t="s">
        <v>99</v>
      </c>
      <c r="B14" s="3" t="s">
        <v>13</v>
      </c>
      <c r="C14" s="3" t="s">
        <v>100</v>
      </c>
      <c r="D14" s="3" t="s">
        <v>101</v>
      </c>
      <c r="E14" s="3" t="s">
        <v>102</v>
      </c>
      <c r="F14" s="3" t="s">
        <v>17</v>
      </c>
      <c r="G14" s="3" t="s">
        <v>103</v>
      </c>
      <c r="H14" s="3"/>
      <c r="I14" s="3"/>
      <c r="J14" s="3"/>
      <c r="K14" s="6" t="s">
        <v>97</v>
      </c>
      <c r="L14" s="3" t="s">
        <v>104</v>
      </c>
    </row>
    <row r="15" customFormat="false" ht="61.5" hidden="false" customHeight="true" outlineLevel="0" collapsed="false">
      <c r="A15" s="3" t="s">
        <v>105</v>
      </c>
      <c r="B15" s="3" t="s">
        <v>13</v>
      </c>
      <c r="C15" s="3" t="s">
        <v>106</v>
      </c>
      <c r="D15" s="3" t="s">
        <v>107</v>
      </c>
      <c r="E15" s="3" t="s">
        <v>108</v>
      </c>
      <c r="F15" s="3" t="s">
        <v>72</v>
      </c>
      <c r="G15" s="3"/>
      <c r="H15" s="3" t="s">
        <v>109</v>
      </c>
      <c r="I15" s="3" t="s">
        <v>110</v>
      </c>
      <c r="J15" s="3" t="s">
        <v>111</v>
      </c>
      <c r="K15" s="5" t="s">
        <v>46</v>
      </c>
      <c r="L15" s="3" t="s">
        <v>112</v>
      </c>
    </row>
    <row r="16" customFormat="false" ht="61.5" hidden="false" customHeight="true" outlineLevel="0" collapsed="false">
      <c r="A16" s="3" t="s">
        <v>113</v>
      </c>
      <c r="B16" s="3" t="s">
        <v>13</v>
      </c>
      <c r="C16" s="3" t="s">
        <v>114</v>
      </c>
      <c r="D16" s="3" t="s">
        <v>115</v>
      </c>
      <c r="E16" s="3" t="s">
        <v>116</v>
      </c>
      <c r="F16" s="3" t="s">
        <v>117</v>
      </c>
      <c r="G16" s="3"/>
      <c r="H16" s="3"/>
      <c r="I16" s="3"/>
      <c r="J16" s="3"/>
      <c r="K16" s="6" t="s">
        <v>97</v>
      </c>
      <c r="L16" s="3" t="s">
        <v>118</v>
      </c>
    </row>
    <row r="17" customFormat="false" ht="61.5" hidden="false" customHeight="true" outlineLevel="0" collapsed="false">
      <c r="A17" s="3" t="s">
        <v>119</v>
      </c>
      <c r="B17" s="3" t="s">
        <v>13</v>
      </c>
      <c r="C17" s="3" t="s">
        <v>120</v>
      </c>
      <c r="D17" s="3" t="s">
        <v>121</v>
      </c>
      <c r="E17" s="3" t="s">
        <v>122</v>
      </c>
      <c r="F17" s="3" t="s">
        <v>117</v>
      </c>
      <c r="G17" s="3" t="s">
        <v>123</v>
      </c>
      <c r="H17" s="3"/>
      <c r="I17" s="3"/>
      <c r="J17" s="3"/>
      <c r="K17" s="5" t="s">
        <v>46</v>
      </c>
      <c r="L17" s="3" t="s">
        <v>124</v>
      </c>
    </row>
    <row r="18" customFormat="false" ht="61.5" hidden="false" customHeight="true" outlineLevel="0" collapsed="false">
      <c r="A18" s="3" t="s">
        <v>125</v>
      </c>
      <c r="B18" s="3" t="s">
        <v>13</v>
      </c>
      <c r="C18" s="3" t="s">
        <v>126</v>
      </c>
      <c r="D18" s="3" t="s">
        <v>127</v>
      </c>
      <c r="E18" s="3" t="s">
        <v>128</v>
      </c>
      <c r="F18" s="3" t="s">
        <v>117</v>
      </c>
      <c r="G18" s="3"/>
      <c r="H18" s="3" t="s">
        <v>19</v>
      </c>
      <c r="I18" s="3" t="s">
        <v>129</v>
      </c>
      <c r="J18" s="3" t="s">
        <v>21</v>
      </c>
      <c r="K18" s="7" t="s">
        <v>130</v>
      </c>
      <c r="L18" s="3" t="s">
        <v>131</v>
      </c>
    </row>
    <row r="19" customFormat="false" ht="61.5" hidden="false" customHeight="true" outlineLevel="0" collapsed="false">
      <c r="A19" s="3" t="s">
        <v>132</v>
      </c>
      <c r="B19" s="3" t="s">
        <v>13</v>
      </c>
      <c r="C19" s="3" t="s">
        <v>133</v>
      </c>
      <c r="D19" s="3" t="s">
        <v>134</v>
      </c>
      <c r="E19" s="3" t="s">
        <v>135</v>
      </c>
      <c r="F19" s="3" t="s">
        <v>117</v>
      </c>
      <c r="G19" s="3" t="s">
        <v>136</v>
      </c>
      <c r="H19" s="3" t="s">
        <v>19</v>
      </c>
      <c r="I19" s="3" t="s">
        <v>137</v>
      </c>
      <c r="J19" s="3" t="s">
        <v>21</v>
      </c>
      <c r="K19" s="6" t="s">
        <v>97</v>
      </c>
      <c r="L19" s="3" t="s">
        <v>138</v>
      </c>
    </row>
    <row r="20" customFormat="false" ht="61.5" hidden="false" customHeight="true" outlineLevel="0" collapsed="false">
      <c r="A20" s="3" t="s">
        <v>139</v>
      </c>
      <c r="B20" s="3" t="s">
        <v>13</v>
      </c>
      <c r="C20" s="3" t="s">
        <v>140</v>
      </c>
      <c r="D20" s="3" t="s">
        <v>141</v>
      </c>
      <c r="E20" s="3" t="s">
        <v>142</v>
      </c>
      <c r="F20" s="3" t="s">
        <v>143</v>
      </c>
      <c r="G20" s="3"/>
      <c r="H20" s="3"/>
      <c r="I20" s="3"/>
      <c r="J20" s="3"/>
      <c r="K20" s="6" t="s">
        <v>97</v>
      </c>
      <c r="L20" s="3" t="s">
        <v>144</v>
      </c>
    </row>
    <row r="21" customFormat="false" ht="61.5" hidden="false" customHeight="true" outlineLevel="0" collapsed="false">
      <c r="A21" s="3" t="s">
        <v>145</v>
      </c>
      <c r="B21" s="3" t="s">
        <v>13</v>
      </c>
      <c r="C21" s="3" t="s">
        <v>146</v>
      </c>
      <c r="D21" s="3" t="s">
        <v>147</v>
      </c>
      <c r="E21" s="3" t="s">
        <v>148</v>
      </c>
      <c r="F21" s="3" t="s">
        <v>143</v>
      </c>
      <c r="G21" s="3"/>
      <c r="H21" s="3"/>
      <c r="I21" s="3"/>
      <c r="J21" s="3"/>
      <c r="K21" s="6" t="s">
        <v>97</v>
      </c>
      <c r="L21" s="3" t="s">
        <v>149</v>
      </c>
    </row>
    <row r="22" customFormat="false" ht="61.5" hidden="false" customHeight="true" outlineLevel="0" collapsed="false">
      <c r="A22" s="3" t="s">
        <v>150</v>
      </c>
      <c r="B22" s="3" t="s">
        <v>13</v>
      </c>
      <c r="C22" s="3" t="s">
        <v>151</v>
      </c>
      <c r="D22" s="3" t="s">
        <v>152</v>
      </c>
      <c r="E22" s="3" t="s">
        <v>153</v>
      </c>
      <c r="F22" s="3" t="s">
        <v>117</v>
      </c>
      <c r="G22" s="3" t="s">
        <v>154</v>
      </c>
      <c r="H22" s="3" t="s">
        <v>155</v>
      </c>
      <c r="I22" s="3" t="s">
        <v>156</v>
      </c>
      <c r="J22" s="3" t="s">
        <v>157</v>
      </c>
      <c r="K22" s="5" t="s">
        <v>46</v>
      </c>
      <c r="L22" s="3" t="s">
        <v>158</v>
      </c>
    </row>
    <row r="23" customFormat="false" ht="61.5" hidden="false" customHeight="true" outlineLevel="0" collapsed="false">
      <c r="A23" s="3" t="s">
        <v>159</v>
      </c>
      <c r="B23" s="3" t="s">
        <v>13</v>
      </c>
      <c r="C23" s="3" t="s">
        <v>160</v>
      </c>
      <c r="D23" s="3" t="s">
        <v>161</v>
      </c>
      <c r="E23" s="3" t="s">
        <v>162</v>
      </c>
      <c r="F23" s="3" t="s">
        <v>17</v>
      </c>
      <c r="G23" s="3"/>
      <c r="H23" s="3"/>
      <c r="I23" s="3"/>
      <c r="J23" s="3"/>
      <c r="K23" s="6" t="s">
        <v>97</v>
      </c>
      <c r="L23" s="3" t="s">
        <v>163</v>
      </c>
    </row>
    <row r="24" customFormat="false" ht="61.5" hidden="false" customHeight="true" outlineLevel="0" collapsed="false">
      <c r="A24" s="3" t="s">
        <v>164</v>
      </c>
      <c r="B24" s="3" t="s">
        <v>13</v>
      </c>
      <c r="C24" s="3" t="s">
        <v>165</v>
      </c>
      <c r="D24" s="3" t="s">
        <v>166</v>
      </c>
      <c r="E24" s="3" t="s">
        <v>167</v>
      </c>
      <c r="F24" s="3" t="s">
        <v>117</v>
      </c>
      <c r="G24" s="3"/>
      <c r="H24" s="3" t="s">
        <v>19</v>
      </c>
      <c r="I24" s="3" t="s">
        <v>168</v>
      </c>
      <c r="J24" s="3" t="s">
        <v>21</v>
      </c>
      <c r="K24" s="7" t="s">
        <v>130</v>
      </c>
      <c r="L24" s="3" t="s">
        <v>169</v>
      </c>
    </row>
    <row r="25" customFormat="false" ht="61.5" hidden="false" customHeight="true" outlineLevel="0" collapsed="false">
      <c r="A25" s="3" t="s">
        <v>170</v>
      </c>
      <c r="B25" s="3" t="s">
        <v>13</v>
      </c>
      <c r="C25" s="3" t="s">
        <v>171</v>
      </c>
      <c r="D25" s="3" t="s">
        <v>172</v>
      </c>
      <c r="E25" s="3" t="s">
        <v>173</v>
      </c>
      <c r="F25" s="3" t="s">
        <v>174</v>
      </c>
      <c r="G25" s="3" t="s">
        <v>175</v>
      </c>
      <c r="H25" s="3" t="s">
        <v>176</v>
      </c>
      <c r="I25" s="3" t="s">
        <v>177</v>
      </c>
      <c r="J25" s="3" t="s">
        <v>157</v>
      </c>
      <c r="K25" s="6" t="s">
        <v>97</v>
      </c>
      <c r="L25" s="3" t="s">
        <v>178</v>
      </c>
    </row>
    <row r="26" customFormat="false" ht="61.5" hidden="false" customHeight="true" outlineLevel="0" collapsed="false">
      <c r="A26" s="3" t="s">
        <v>179</v>
      </c>
      <c r="B26" s="3" t="s">
        <v>13</v>
      </c>
      <c r="C26" s="3" t="s">
        <v>180</v>
      </c>
      <c r="D26" s="3" t="s">
        <v>181</v>
      </c>
      <c r="E26" s="3" t="s">
        <v>182</v>
      </c>
      <c r="F26" s="3" t="s">
        <v>64</v>
      </c>
      <c r="G26" s="3"/>
      <c r="H26" s="3" t="s">
        <v>29</v>
      </c>
      <c r="I26" s="3" t="s">
        <v>183</v>
      </c>
      <c r="J26" s="3" t="s">
        <v>31</v>
      </c>
      <c r="K26" s="6" t="s">
        <v>97</v>
      </c>
      <c r="L26" s="3" t="s">
        <v>184</v>
      </c>
    </row>
    <row r="27" customFormat="false" ht="61.5" hidden="false" customHeight="true" outlineLevel="0" collapsed="false">
      <c r="A27" s="3" t="s">
        <v>185</v>
      </c>
      <c r="B27" s="3" t="s">
        <v>186</v>
      </c>
      <c r="C27" s="3" t="s">
        <v>187</v>
      </c>
      <c r="D27" s="3" t="s">
        <v>188</v>
      </c>
      <c r="E27" s="3" t="s">
        <v>189</v>
      </c>
      <c r="F27" s="3" t="s">
        <v>64</v>
      </c>
      <c r="G27" s="3"/>
      <c r="H27" s="3" t="s">
        <v>19</v>
      </c>
      <c r="I27" s="3" t="s">
        <v>190</v>
      </c>
      <c r="J27" s="3" t="s">
        <v>21</v>
      </c>
      <c r="K27" s="7" t="s">
        <v>130</v>
      </c>
      <c r="L27" s="3" t="s">
        <v>191</v>
      </c>
    </row>
    <row r="28" customFormat="false" ht="61.5" hidden="false" customHeight="true" outlineLevel="0" collapsed="false">
      <c r="A28" s="3" t="s">
        <v>192</v>
      </c>
      <c r="B28" s="3" t="s">
        <v>186</v>
      </c>
      <c r="C28" s="3" t="s">
        <v>193</v>
      </c>
      <c r="D28" s="3" t="s">
        <v>194</v>
      </c>
      <c r="E28" s="3" t="s">
        <v>195</v>
      </c>
      <c r="F28" s="3" t="s">
        <v>174</v>
      </c>
      <c r="G28" s="3" t="s">
        <v>170</v>
      </c>
      <c r="H28" s="3" t="s">
        <v>196</v>
      </c>
      <c r="I28" s="3" t="s">
        <v>197</v>
      </c>
      <c r="J28" s="3" t="s">
        <v>198</v>
      </c>
      <c r="K28" s="5" t="s">
        <v>46</v>
      </c>
      <c r="L28" s="3" t="s">
        <v>199</v>
      </c>
    </row>
    <row r="29" customFormat="false" ht="61.5" hidden="false" customHeight="true" outlineLevel="0" collapsed="false">
      <c r="A29" s="3" t="s">
        <v>200</v>
      </c>
      <c r="B29" s="3" t="s">
        <v>186</v>
      </c>
      <c r="C29" s="3" t="s">
        <v>201</v>
      </c>
      <c r="D29" s="3" t="s">
        <v>202</v>
      </c>
      <c r="E29" s="3" t="s">
        <v>203</v>
      </c>
      <c r="F29" s="3" t="s">
        <v>117</v>
      </c>
      <c r="G29" s="3" t="s">
        <v>204</v>
      </c>
      <c r="H29" s="3" t="s">
        <v>19</v>
      </c>
      <c r="I29" s="3" t="s">
        <v>205</v>
      </c>
      <c r="J29" s="3" t="s">
        <v>21</v>
      </c>
      <c r="K29" s="7" t="s">
        <v>130</v>
      </c>
      <c r="L29" s="3" t="s">
        <v>206</v>
      </c>
    </row>
    <row r="30" customFormat="false" ht="61.5" hidden="false" customHeight="true" outlineLevel="0" collapsed="false">
      <c r="A30" s="3" t="s">
        <v>207</v>
      </c>
      <c r="B30" s="3" t="s">
        <v>186</v>
      </c>
      <c r="C30" s="3" t="s">
        <v>208</v>
      </c>
      <c r="D30" s="3" t="s">
        <v>209</v>
      </c>
      <c r="E30" s="3" t="s">
        <v>210</v>
      </c>
      <c r="F30" s="3" t="s">
        <v>117</v>
      </c>
      <c r="G30" s="3"/>
      <c r="H30" s="3" t="s">
        <v>19</v>
      </c>
      <c r="I30" s="3" t="s">
        <v>137</v>
      </c>
      <c r="J30" s="3" t="s">
        <v>21</v>
      </c>
      <c r="K30" s="6" t="s">
        <v>97</v>
      </c>
      <c r="L30" s="3" t="s">
        <v>211</v>
      </c>
    </row>
    <row r="31" customFormat="false" ht="61.5" hidden="false" customHeight="true" outlineLevel="0" collapsed="false">
      <c r="A31" s="3" t="s">
        <v>212</v>
      </c>
      <c r="B31" s="3" t="s">
        <v>186</v>
      </c>
      <c r="C31" s="3" t="s">
        <v>213</v>
      </c>
      <c r="D31" s="3" t="s">
        <v>214</v>
      </c>
      <c r="E31" s="3" t="s">
        <v>215</v>
      </c>
      <c r="F31" s="3" t="s">
        <v>174</v>
      </c>
      <c r="G31" s="3" t="s">
        <v>150</v>
      </c>
      <c r="H31" s="3" t="s">
        <v>216</v>
      </c>
      <c r="I31" s="3" t="s">
        <v>217</v>
      </c>
      <c r="J31" s="3" t="s">
        <v>157</v>
      </c>
      <c r="K31" s="5" t="s">
        <v>46</v>
      </c>
      <c r="L31" s="3" t="s">
        <v>218</v>
      </c>
    </row>
    <row r="32" customFormat="false" ht="61.5" hidden="false" customHeight="true" outlineLevel="0" collapsed="false">
      <c r="A32" s="3" t="s">
        <v>219</v>
      </c>
      <c r="B32" s="3" t="s">
        <v>186</v>
      </c>
      <c r="C32" s="3" t="s">
        <v>220</v>
      </c>
      <c r="D32" s="3" t="s">
        <v>221</v>
      </c>
      <c r="E32" s="3" t="s">
        <v>222</v>
      </c>
      <c r="F32" s="3" t="s">
        <v>143</v>
      </c>
      <c r="G32" s="3"/>
      <c r="H32" s="3" t="s">
        <v>19</v>
      </c>
      <c r="I32" s="3" t="s">
        <v>137</v>
      </c>
      <c r="J32" s="3" t="s">
        <v>21</v>
      </c>
      <c r="K32" s="6" t="s">
        <v>97</v>
      </c>
      <c r="L32" s="3" t="s">
        <v>223</v>
      </c>
    </row>
    <row r="33" customFormat="false" ht="61.5" hidden="false" customHeight="true" outlineLevel="0" collapsed="false">
      <c r="A33" s="3" t="s">
        <v>224</v>
      </c>
      <c r="B33" s="3" t="s">
        <v>186</v>
      </c>
      <c r="C33" s="3" t="s">
        <v>225</v>
      </c>
      <c r="D33" s="3" t="s">
        <v>226</v>
      </c>
      <c r="E33" s="3" t="s">
        <v>227</v>
      </c>
      <c r="F33" s="3" t="s">
        <v>117</v>
      </c>
      <c r="G33" s="3"/>
      <c r="H33" s="3" t="s">
        <v>19</v>
      </c>
      <c r="I33" s="3" t="s">
        <v>137</v>
      </c>
      <c r="J33" s="3" t="s">
        <v>21</v>
      </c>
      <c r="K33" s="6" t="s">
        <v>97</v>
      </c>
      <c r="L33" s="3" t="s">
        <v>228</v>
      </c>
    </row>
    <row r="34" customFormat="false" ht="61.5" hidden="false" customHeight="true" outlineLevel="0" collapsed="false">
      <c r="A34" s="3" t="s">
        <v>229</v>
      </c>
      <c r="B34" s="3" t="s">
        <v>186</v>
      </c>
      <c r="C34" s="3" t="s">
        <v>230</v>
      </c>
      <c r="D34" s="3" t="s">
        <v>231</v>
      </c>
      <c r="E34" s="3" t="s">
        <v>232</v>
      </c>
      <c r="F34" s="3" t="s">
        <v>117</v>
      </c>
      <c r="G34" s="3"/>
      <c r="H34" s="3" t="s">
        <v>19</v>
      </c>
      <c r="I34" s="3" t="s">
        <v>233</v>
      </c>
      <c r="J34" s="3" t="s">
        <v>21</v>
      </c>
      <c r="K34" s="4" t="s">
        <v>22</v>
      </c>
      <c r="L34" s="3" t="s">
        <v>234</v>
      </c>
    </row>
    <row r="35" customFormat="false" ht="61.5" hidden="false" customHeight="true" outlineLevel="0" collapsed="false">
      <c r="A35" s="3" t="s">
        <v>235</v>
      </c>
      <c r="B35" s="3" t="s">
        <v>186</v>
      </c>
      <c r="C35" s="3" t="s">
        <v>236</v>
      </c>
      <c r="D35" s="3" t="s">
        <v>237</v>
      </c>
      <c r="E35" s="3" t="s">
        <v>238</v>
      </c>
      <c r="F35" s="3" t="s">
        <v>64</v>
      </c>
      <c r="G35" s="3" t="s">
        <v>60</v>
      </c>
      <c r="H35" s="3"/>
      <c r="I35" s="3"/>
      <c r="J35" s="3" t="s">
        <v>239</v>
      </c>
      <c r="K35" s="6" t="s">
        <v>97</v>
      </c>
      <c r="L35" s="3" t="s">
        <v>240</v>
      </c>
    </row>
    <row r="36" customFormat="false" ht="61.5" hidden="false" customHeight="true" outlineLevel="0" collapsed="false">
      <c r="A36" s="3" t="s">
        <v>241</v>
      </c>
      <c r="B36" s="3" t="s">
        <v>186</v>
      </c>
      <c r="C36" s="3" t="s">
        <v>242</v>
      </c>
      <c r="D36" s="3" t="s">
        <v>243</v>
      </c>
      <c r="E36" s="3" t="s">
        <v>244</v>
      </c>
      <c r="F36" s="3" t="s">
        <v>143</v>
      </c>
      <c r="G36" s="3"/>
      <c r="H36" s="3" t="s">
        <v>19</v>
      </c>
      <c r="I36" s="3" t="s">
        <v>245</v>
      </c>
      <c r="J36" s="3" t="s">
        <v>246</v>
      </c>
      <c r="K36" s="5" t="s">
        <v>46</v>
      </c>
      <c r="L36" s="3" t="s">
        <v>247</v>
      </c>
    </row>
  </sheetData>
  <autoFilter ref="A1:L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34"/>
    <col collapsed="false" customWidth="true" hidden="false" outlineLevel="0" max="3" min="3" style="1" width="70"/>
  </cols>
  <sheetData>
    <row r="1" customFormat="false" ht="17.25" hidden="false" customHeight="true" outlineLevel="0" collapsed="false">
      <c r="A1" s="8" t="s">
        <v>248</v>
      </c>
    </row>
    <row r="2" customFormat="false" ht="69.75" hidden="false" customHeight="true" outlineLevel="0" collapsed="false">
      <c r="A2" s="9" t="s">
        <v>249</v>
      </c>
      <c r="B2" s="9"/>
      <c r="C2" s="9"/>
    </row>
    <row r="4" customFormat="false" ht="15" hidden="false" customHeight="true" outlineLevel="0" collapsed="false">
      <c r="A4" s="10" t="s">
        <v>250</v>
      </c>
      <c r="B4" s="10" t="s">
        <v>251</v>
      </c>
      <c r="C4" s="10" t="s">
        <v>252</v>
      </c>
    </row>
    <row r="5" customFormat="false" ht="54.75" hidden="false" customHeight="true" outlineLevel="0" collapsed="false">
      <c r="A5" s="11" t="s">
        <v>253</v>
      </c>
      <c r="B5" s="3" t="s">
        <v>254</v>
      </c>
      <c r="C5" s="3" t="s">
        <v>255</v>
      </c>
    </row>
    <row r="6" customFormat="false" ht="54.75" hidden="false" customHeight="true" outlineLevel="0" collapsed="false">
      <c r="A6" s="11" t="s">
        <v>256</v>
      </c>
      <c r="B6" s="3" t="s">
        <v>257</v>
      </c>
      <c r="C6" s="3" t="s">
        <v>258</v>
      </c>
    </row>
    <row r="7" customFormat="false" ht="54.75" hidden="false" customHeight="true" outlineLevel="0" collapsed="false">
      <c r="A7" s="11" t="s">
        <v>259</v>
      </c>
      <c r="B7" s="3" t="s">
        <v>260</v>
      </c>
      <c r="C7" s="3" t="s">
        <v>261</v>
      </c>
    </row>
    <row r="8" customFormat="false" ht="54.75" hidden="false" customHeight="true" outlineLevel="0" collapsed="false">
      <c r="A8" s="11" t="s">
        <v>262</v>
      </c>
      <c r="B8" s="3" t="s">
        <v>263</v>
      </c>
      <c r="C8" s="3" t="s">
        <v>264</v>
      </c>
    </row>
    <row r="9" customFormat="false" ht="54.75" hidden="false" customHeight="true" outlineLevel="0" collapsed="false">
      <c r="A9" s="11" t="s">
        <v>265</v>
      </c>
      <c r="B9" s="3" t="s">
        <v>266</v>
      </c>
      <c r="C9" s="3" t="s">
        <v>267</v>
      </c>
    </row>
    <row r="10" customFormat="false" ht="54.75" hidden="false" customHeight="true" outlineLevel="0" collapsed="false">
      <c r="A10" s="11" t="s">
        <v>268</v>
      </c>
      <c r="B10" s="3" t="s">
        <v>269</v>
      </c>
      <c r="C10" s="3" t="s">
        <v>270</v>
      </c>
    </row>
    <row r="11" customFormat="false" ht="54.75" hidden="false" customHeight="true" outlineLevel="0" collapsed="false">
      <c r="A11" s="11" t="s">
        <v>271</v>
      </c>
      <c r="B11" s="3" t="s">
        <v>272</v>
      </c>
      <c r="C11" s="3" t="s">
        <v>273</v>
      </c>
    </row>
    <row r="12" customFormat="false" ht="54.75" hidden="false" customHeight="true" outlineLevel="0" collapsed="false">
      <c r="A12" s="11" t="s">
        <v>274</v>
      </c>
      <c r="B12" s="3" t="s">
        <v>275</v>
      </c>
      <c r="C12" s="3" t="s">
        <v>276</v>
      </c>
    </row>
    <row r="13" customFormat="false" ht="54.75" hidden="false" customHeight="true" outlineLevel="0" collapsed="false">
      <c r="A13" s="11" t="s">
        <v>277</v>
      </c>
      <c r="B13" s="3" t="s">
        <v>278</v>
      </c>
      <c r="C13" s="3" t="s">
        <v>279</v>
      </c>
    </row>
    <row r="14" customFormat="false" ht="54.75" hidden="false" customHeight="true" outlineLevel="0" collapsed="false">
      <c r="A14" s="11" t="s">
        <v>280</v>
      </c>
      <c r="B14" s="3" t="s">
        <v>281</v>
      </c>
      <c r="C14" s="3" t="s">
        <v>282</v>
      </c>
    </row>
    <row r="15" customFormat="false" ht="54.75" hidden="false" customHeight="true" outlineLevel="0" collapsed="false">
      <c r="A15" s="11" t="s">
        <v>283</v>
      </c>
      <c r="B15" s="3" t="s">
        <v>284</v>
      </c>
      <c r="C15" s="3" t="s">
        <v>285</v>
      </c>
    </row>
    <row r="16" customFormat="false" ht="54.75" hidden="false" customHeight="true" outlineLevel="0" collapsed="false">
      <c r="A16" s="11" t="s">
        <v>286</v>
      </c>
      <c r="B16" s="3" t="s">
        <v>287</v>
      </c>
      <c r="C16" s="3" t="s">
        <v>288</v>
      </c>
    </row>
  </sheetData>
  <mergeCells count="1">
    <mergeCell ref="A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4" min="4" style="1" width="22"/>
    <col collapsed="false" customWidth="true" hidden="false" outlineLevel="0" max="5" min="5" style="1" width="12"/>
  </cols>
  <sheetData>
    <row r="1" customFormat="false" ht="15" hidden="false" customHeight="true" outlineLevel="0" collapsed="false">
      <c r="A1" s="12" t="s">
        <v>289</v>
      </c>
    </row>
    <row r="2" customFormat="false" ht="33.75" hidden="false" customHeight="true" outlineLevel="0" collapsed="false">
      <c r="A2" s="13" t="s">
        <v>130</v>
      </c>
      <c r="B2" s="14" t="s">
        <v>290</v>
      </c>
    </row>
    <row r="3" customFormat="false" ht="33.75" hidden="false" customHeight="true" outlineLevel="0" collapsed="false">
      <c r="A3" s="15" t="s">
        <v>22</v>
      </c>
      <c r="B3" s="14" t="s">
        <v>291</v>
      </c>
    </row>
    <row r="4" customFormat="false" ht="33.75" hidden="false" customHeight="true" outlineLevel="0" collapsed="false">
      <c r="A4" s="16" t="s">
        <v>46</v>
      </c>
      <c r="B4" s="14" t="s">
        <v>292</v>
      </c>
    </row>
    <row r="5" customFormat="false" ht="33.75" hidden="false" customHeight="true" outlineLevel="0" collapsed="false">
      <c r="A5" s="17" t="s">
        <v>97</v>
      </c>
      <c r="B5" s="14" t="s">
        <v>293</v>
      </c>
    </row>
    <row r="7" customFormat="false" ht="15" hidden="false" customHeight="true" outlineLevel="0" collapsed="false">
      <c r="A7" s="12" t="s">
        <v>294</v>
      </c>
    </row>
    <row r="8" customFormat="false" ht="33.75" hidden="false" customHeight="true" outlineLevel="0" collapsed="false">
      <c r="A8" s="18" t="s">
        <v>17</v>
      </c>
      <c r="B8" s="14" t="s">
        <v>295</v>
      </c>
    </row>
    <row r="9" customFormat="false" ht="33.75" hidden="false" customHeight="true" outlineLevel="0" collapsed="false">
      <c r="A9" s="18" t="s">
        <v>117</v>
      </c>
      <c r="B9" s="14" t="s">
        <v>296</v>
      </c>
    </row>
    <row r="10" customFormat="false" ht="33.75" hidden="false" customHeight="true" outlineLevel="0" collapsed="false">
      <c r="A10" s="18" t="s">
        <v>143</v>
      </c>
      <c r="B10" s="14" t="s">
        <v>297</v>
      </c>
    </row>
    <row r="11" customFormat="false" ht="33.75" hidden="false" customHeight="true" outlineLevel="0" collapsed="false">
      <c r="A11" s="18" t="s">
        <v>174</v>
      </c>
      <c r="B11" s="14" t="s">
        <v>298</v>
      </c>
    </row>
    <row r="12" customFormat="false" ht="33.75" hidden="false" customHeight="true" outlineLevel="0" collapsed="false">
      <c r="A12" s="18" t="s">
        <v>28</v>
      </c>
      <c r="B12" s="14" t="s">
        <v>299</v>
      </c>
    </row>
    <row r="13" customFormat="false" ht="33.75" hidden="false" customHeight="true" outlineLevel="0" collapsed="false">
      <c r="A13" s="18" t="s">
        <v>72</v>
      </c>
      <c r="B13" s="14" t="s">
        <v>300</v>
      </c>
    </row>
    <row r="14" customFormat="false" ht="33.75" hidden="false" customHeight="true" outlineLevel="0" collapsed="false">
      <c r="A14" s="18" t="s">
        <v>64</v>
      </c>
      <c r="B14" s="14" t="s">
        <v>301</v>
      </c>
    </row>
    <row r="16" customFormat="false" ht="15" hidden="false" customHeight="true" outlineLevel="0" collapsed="false">
      <c r="A16" s="12" t="s">
        <v>302</v>
      </c>
    </row>
    <row r="17" customFormat="false" ht="60" hidden="false" customHeight="true" outlineLevel="0" collapsed="false">
      <c r="A17" s="19" t="s">
        <v>303</v>
      </c>
      <c r="B17" s="19"/>
    </row>
    <row r="20" customFormat="false" ht="15" hidden="false" customHeight="true" outlineLevel="0" collapsed="false">
      <c r="A20" s="12" t="s">
        <v>304</v>
      </c>
    </row>
    <row r="21" customFormat="false" ht="15" hidden="false" customHeight="true" outlineLevel="0" collapsed="false">
      <c r="A21" s="18" t="s">
        <v>10</v>
      </c>
      <c r="B21" s="18" t="s">
        <v>305</v>
      </c>
    </row>
    <row r="22" customFormat="false" ht="15" hidden="false" customHeight="true" outlineLevel="0" collapsed="false">
      <c r="A22" s="20" t="s">
        <v>130</v>
      </c>
      <c r="B22" s="20" t="n">
        <f aca="false">COUNTIF('Requirements Register'!K2:K36,A22)</f>
        <v>4</v>
      </c>
    </row>
    <row r="23" customFormat="false" ht="15" hidden="false" customHeight="true" outlineLevel="0" collapsed="false">
      <c r="A23" s="20" t="s">
        <v>22</v>
      </c>
      <c r="B23" s="20" t="n">
        <f aca="false">COUNTIF('Requirements Register'!K2:K36,A23)</f>
        <v>9</v>
      </c>
    </row>
    <row r="24" customFormat="false" ht="15" hidden="false" customHeight="true" outlineLevel="0" collapsed="false">
      <c r="A24" s="20" t="s">
        <v>46</v>
      </c>
      <c r="B24" s="20" t="n">
        <f aca="false">COUNTIF('Requirements Register'!K2:K36,A24)</f>
        <v>9</v>
      </c>
    </row>
    <row r="25" customFormat="false" ht="15" hidden="false" customHeight="true" outlineLevel="0" collapsed="false">
      <c r="A25" s="20" t="s">
        <v>97</v>
      </c>
      <c r="B25" s="20" t="n">
        <f aca="false">COUNTIF('Requirements Register'!K2:K36,A25)</f>
        <v>13</v>
      </c>
    </row>
    <row r="26" customFormat="false" ht="15" hidden="false" customHeight="true" outlineLevel="0" collapsed="false">
      <c r="A26" s="18" t="s">
        <v>306</v>
      </c>
      <c r="B26" s="18" t="n">
        <f aca="false">SUM(B22:B25)</f>
        <v>35</v>
      </c>
    </row>
    <row r="28" customFormat="false" ht="15" hidden="false" customHeight="true" outlineLevel="0" collapsed="false">
      <c r="A28" s="18" t="s">
        <v>307</v>
      </c>
      <c r="B28" s="20" t="n">
        <f aca="false">COUNTIF('Requirements Register'!J2:J36,"?*")</f>
        <v>29</v>
      </c>
    </row>
  </sheetData>
  <mergeCells count="1">
    <mergeCell ref="A17:B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2026-09-15T14:15:23Z</dcterms:created>
  <dc:creator>openpyxl</dc:creator>
  <dc:description/>
  <dc:language>en-US</dc:language>
  <cp:lastModifiedBy/>
  <dcterms:modified xsi:type="dcterms:W3CDTF">2026-09-15T18:35:01Z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